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 Overzicht" sheetId="1" state="visible" r:id="rId3"/>
    <sheet name="Dagelijks Log" sheetId="2" state="visible" r:id="rId4"/>
    <sheet name="Weekoverzich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<sst xmlns="http://schemas.openxmlformats.org/spreadsheetml/2006/main" count="101" uniqueCount="74">
  <si>
    <t xml:space="preserve">🏋️  Supplement Overzicht – Bert</t>
  </si>
  <si>
    <t xml:space="preserve">Gegenereerd op 31 March 2026</t>
  </si>
  <si>
    <t xml:space="preserve">Supplement</t>
  </si>
  <si>
    <t xml:space="preserve">Merk</t>
  </si>
  <si>
    <t xml:space="preserve">Type</t>
  </si>
  <si>
    <t xml:space="preserve">Std. Dosis</t>
  </si>
  <si>
    <t xml:space="preserve">Eenheid</t>
  </si>
  <si>
    <t xml:space="preserve">Tijdstip</t>
  </si>
  <si>
    <t xml:space="preserve">Sleutelstoffen</t>
  </si>
  <si>
    <t xml:space="preserve">ADH %</t>
  </si>
  <si>
    <t xml:space="preserve">Verpakking</t>
  </si>
  <si>
    <t xml:space="preserve">Notities</t>
  </si>
  <si>
    <t xml:space="preserve">Magnesium Bisglycinaat 375 mg</t>
  </si>
  <si>
    <t xml:space="preserve">Lucovitaal</t>
  </si>
  <si>
    <t xml:space="preserve">Tablet</t>
  </si>
  <si>
    <t xml:space="preserve">tablets</t>
  </si>
  <si>
    <t xml:space="preserve">Avond / bij maaltijd</t>
  </si>
  <si>
    <t xml:space="preserve">375 mg Mg elementair • Bisglycinaat-vorm</t>
  </si>
  <si>
    <t xml:space="preserve">100% magnesium</t>
  </si>
  <si>
    <t xml:space="preserve">90 tabletten</t>
  </si>
  <si>
    <t xml:space="preserve">Hoge biologische beschikbaarheid. Geen maagklachten.</t>
  </si>
  <si>
    <t xml:space="preserve">Opti-Men Multivitamine</t>
  </si>
  <si>
    <t xml:space="preserve">Optimum Nutrition</t>
  </si>
  <si>
    <t xml:space="preserve">Ochtend bij maaltijd</t>
  </si>
  <si>
    <t xml:space="preserve">75+ stoffen • Vit C 300mg • Zink 30mg • B-complex • Amino-blend</t>
  </si>
  <si>
    <t xml:space="preserve">Vit C 500% • B1 5000% • Zink 200%</t>
  </si>
  <si>
    <t xml:space="preserve">90 / 180 / 240 tabs</t>
  </si>
  <si>
    <t xml:space="preserve">Bevat ook 100 mg Mg en 300 IU Vit D3.</t>
  </si>
  <si>
    <t xml:space="preserve">Omega-3 + Vitamine D3</t>
  </si>
  <si>
    <t xml:space="preserve">Body&amp;Fit</t>
  </si>
  <si>
    <t xml:space="preserve">Softgel</t>
  </si>
  <si>
    <t xml:space="preserve">capsules</t>
  </si>
  <si>
    <t xml:space="preserve">1000 mg visolie • EPA 180 mg • DHA 120 mg • Vit D3 1000 IU</t>
  </si>
  <si>
    <t xml:space="preserve">Vit D3 500%</t>
  </si>
  <si>
    <t xml:space="preserve">180 softgels</t>
  </si>
  <si>
    <t xml:space="preserve">1–2 capsules per dag. Koud, droog bewaren.</t>
  </si>
  <si>
    <t xml:space="preserve">Creatine Monohydrate</t>
  </si>
  <si>
    <t xml:space="preserve">Poeder</t>
  </si>
  <si>
    <t xml:space="preserve">gram</t>
  </si>
  <si>
    <t xml:space="preserve">Pre- of post-workout</t>
  </si>
  <si>
    <t xml:space="preserve">100% Creatine Monohydraat • Smaakvrij</t>
  </si>
  <si>
    <t xml:space="preserve">—</t>
  </si>
  <si>
    <t xml:space="preserve">250 g / 500 g</t>
  </si>
  <si>
    <t xml:space="preserve">Oplossen in 200–250 ml water. Dosis aanpasbaar in app.</t>
  </si>
  <si>
    <t xml:space="preserve">⚠️  OVERLAP NOTITIES</t>
  </si>
  <si>
    <t xml:space="preserve">Magnesium totaal: Opti-Men (100 mg) + Lucovitaal (375 mg) = ±475 mg/dag  |  ADH = 375 mg  |  Veilig voor gezonde volwassenen.</t>
  </si>
  <si>
    <t xml:space="preserve">Vitamine D totaal: Opti-Men (300 IU) + Body&amp;Fit Omega-3 (1000 IU) = ±1300 IU/dag  |  Veilige bovengrens = 4000 IU/dag  |  Prima.</t>
  </si>
  <si>
    <t xml:space="preserve">Creatine: geen overlap met andere supplementen.</t>
  </si>
  <si>
    <t xml:space="preserve">📋  Dagelijks Supplement Log</t>
  </si>
  <si>
    <t xml:space="preserve">Voeg rijen toe voor elke inname. Exporteerbaar als CSV voor Bitfit.</t>
  </si>
  <si>
    <t xml:space="preserve">Datum</t>
  </si>
  <si>
    <t xml:space="preserve">Dosis</t>
  </si>
  <si>
    <t xml:space="preserve">Gewicht (kg)</t>
  </si>
  <si>
    <t xml:space="preserve">Training</t>
  </si>
  <si>
    <t xml:space="preserve">avond</t>
  </si>
  <si>
    <t xml:space="preserve">ochtend</t>
  </si>
  <si>
    <t xml:space="preserve">Squat dag</t>
  </si>
  <si>
    <t xml:space="preserve">pre-workout</t>
  </si>
  <si>
    <t xml:space="preserve">Met 300ml water</t>
  </si>
  <si>
    <t xml:space="preserve">📊  Weekoverzicht – Consistentie</t>
  </si>
  <si>
    <t xml:space="preserve">Telt hoe vaak elk supplement deze week werd gelogd (maandag t/m zondag)</t>
  </si>
  <si>
    <t xml:space="preserve">Week van (maandag):</t>
  </si>
  <si>
    <t xml:space="preserve">t/m</t>
  </si>
  <si>
    <t xml:space="preserve">Ma</t>
  </si>
  <si>
    <t xml:space="preserve">Di</t>
  </si>
  <si>
    <t xml:space="preserve">Wo</t>
  </si>
  <si>
    <t xml:space="preserve">Do</t>
  </si>
  <si>
    <t xml:space="preserve">Vr</t>
  </si>
  <si>
    <t xml:space="preserve">Za</t>
  </si>
  <si>
    <t xml:space="preserve">Zo</t>
  </si>
  <si>
    <t xml:space="preserve">Totaal</t>
  </si>
  <si>
    <t xml:space="preserve">Doel</t>
  </si>
  <si>
    <t xml:space="preserve">% Compleet</t>
  </si>
  <si>
    <t xml:space="preserve">Magnesium Bisglycinaat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</si>
</sst>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97316"/>
      <name val="Segoe UI"/>
      <family val="0"/>
      <charset val="1"/>
    </font>
    <font>
      <i val="true"/>
      <sz val="9"/>
      <color rgb="FF64748B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9"/>
      <color rgb="FFE2E8F0"/>
      <name val="Segoe UI"/>
      <family val="0"/>
      <charset val="1"/>
    </font>
    <font>
      <b val="true"/>
      <sz val="10"/>
      <color rgb="FFF97316"/>
      <name val="Segoe UI"/>
      <family val="0"/>
      <charset val="1"/>
    </font>
    <font>
      <sz val="9"/>
      <color rgb="FF93C5FD"/>
      <name val="Segoe UI"/>
      <family val="0"/>
      <charset val="1"/>
    </font>
    <font>
      <b val="true"/>
      <sz val="14"/>
      <color rgb="FF3B82F6"/>
      <name val="Segoe UI"/>
      <family val="0"/>
      <charset val="1"/>
    </font>
    <font>
      <b val="true"/>
      <sz val="14"/>
      <color rgb="FF22C55E"/>
      <name val="Segoe UI"/>
      <family val="0"/>
      <charset val="1"/>
    </font>
    <font>
      <sz val="9"/>
      <color rgb="FF64748B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sz val="10"/>
      <color rgb="FFE2E8F0"/>
      <name val="Segoe UI"/>
      <family val="0"/>
      <charset val="1"/>
    </font>
    <font>
      <b val="true"/>
      <sz val="11"/>
      <color rgb="FF22C55E"/>
      <name val="Segoe UI"/>
      <family val="0"/>
      <charset val="1"/>
    </font>
    <font>
      <sz val="10"/>
      <color rgb="FF64748B"/>
      <name val="Segoe U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0F14"/>
        <bgColor rgb="FF161A22"/>
      </patternFill>
    </fill>
    <fill>
      <patternFill patternType="solid">
        <fgColor rgb="FF161A22"/>
        <bgColor rgb="FF1A1F2B"/>
      </patternFill>
    </fill>
    <fill>
      <patternFill patternType="solid">
        <fgColor rgb="FFF97316"/>
        <bgColor rgb="FFFF9900"/>
      </patternFill>
    </fill>
    <fill>
      <patternFill patternType="solid">
        <fgColor rgb="FF1E2330"/>
        <bgColor rgb="FF1A1F2B"/>
      </patternFill>
    </fill>
    <fill>
      <patternFill patternType="solid">
        <fgColor rgb="FF1A1F2B"/>
        <bgColor rgb="FF1E2330"/>
      </patternFill>
    </fill>
    <fill>
      <patternFill patternType="solid">
        <fgColor rgb="FF2A3045"/>
        <bgColor rgb="FF1A2540"/>
      </patternFill>
    </fill>
    <fill>
      <patternFill patternType="solid">
        <fgColor rgb="FF1A2540"/>
        <bgColor rgb="FF1E2330"/>
      </patternFill>
    </fill>
    <fill>
      <patternFill patternType="solid">
        <fgColor rgb="FF3B82F6"/>
        <bgColor rgb="FF0066CC"/>
      </patternFill>
    </fill>
    <fill>
      <patternFill patternType="solid">
        <fgColor rgb="FF22C55E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3045"/>
      </left>
      <right style="thin">
        <color rgb="FF2A3045"/>
      </right>
      <top style="thin">
        <color rgb="FF2A3045"/>
      </top>
      <bottom style="thin">
        <color rgb="FF2A30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F14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8F0"/>
      <rgbColor rgb="FF660066"/>
      <rgbColor rgb="FFFF8080"/>
      <rgbColor rgb="FF0066CC"/>
      <rgbColor rgb="FFCCCCFF"/>
      <rgbColor rgb="FF1A1F2B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5FD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97316"/>
      <rgbColor rgb="FF64748B"/>
      <rgbColor rgb="FF969696"/>
      <rgbColor rgb="FF1A2540"/>
      <rgbColor rgb="FF22C55E"/>
      <rgbColor rgb="FF161A22"/>
      <rgbColor rgb="FF1E2330"/>
      <rgbColor rgb="FF993300"/>
      <rgbColor rgb="FF993366"/>
      <rgbColor rgb="FF333399"/>
      <rgbColor rgb="FF2A30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L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36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3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</row>
    <row r="3" customFormat="false" ht="15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30" hidden="false" customHeight="true" outlineLevel="0" collapsed="false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1"/>
    </row>
    <row r="6" customFormat="false" ht="48" hidden="false" customHeight="true" outlineLevel="0" collapsed="false">
      <c r="A6" s="1"/>
      <c r="B6" s="5" t="s">
        <v>12</v>
      </c>
      <c r="C6" s="6" t="s">
        <v>13</v>
      </c>
      <c r="D6" s="6" t="s">
        <v>14</v>
      </c>
      <c r="E6" s="7" t="n">
        <v>2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  <c r="L6" s="1"/>
    </row>
    <row r="7" customFormat="false" ht="48" hidden="false" customHeight="true" outlineLevel="0" collapsed="false">
      <c r="A7" s="1"/>
      <c r="B7" s="8" t="s">
        <v>21</v>
      </c>
      <c r="C7" s="9" t="s">
        <v>22</v>
      </c>
      <c r="D7" s="9" t="s">
        <v>14</v>
      </c>
      <c r="E7" s="10" t="n">
        <v>3</v>
      </c>
      <c r="F7" s="9" t="s">
        <v>15</v>
      </c>
      <c r="G7" s="9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"/>
    </row>
    <row r="8" customFormat="false" ht="48" hidden="false" customHeight="true" outlineLevel="0" collapsed="false">
      <c r="A8" s="1"/>
      <c r="B8" s="5" t="s">
        <v>28</v>
      </c>
      <c r="C8" s="6" t="s">
        <v>29</v>
      </c>
      <c r="D8" s="6" t="s">
        <v>30</v>
      </c>
      <c r="E8" s="7" t="n">
        <v>1</v>
      </c>
      <c r="F8" s="6" t="s">
        <v>31</v>
      </c>
      <c r="G8" s="6" t="s">
        <v>23</v>
      </c>
      <c r="H8" s="6" t="s">
        <v>32</v>
      </c>
      <c r="I8" s="6" t="s">
        <v>33</v>
      </c>
      <c r="J8" s="6" t="s">
        <v>34</v>
      </c>
      <c r="K8" s="6" t="s">
        <v>35</v>
      </c>
      <c r="L8" s="1"/>
    </row>
    <row r="9" customFormat="false" ht="48" hidden="false" customHeight="true" outlineLevel="0" collapsed="false">
      <c r="A9" s="1"/>
      <c r="B9" s="8" t="s">
        <v>36</v>
      </c>
      <c r="C9" s="9" t="s">
        <v>29</v>
      </c>
      <c r="D9" s="9" t="s">
        <v>37</v>
      </c>
      <c r="E9" s="10" t="n">
        <v>6</v>
      </c>
      <c r="F9" s="9" t="s">
        <v>38</v>
      </c>
      <c r="G9" s="9" t="s">
        <v>39</v>
      </c>
      <c r="H9" s="9" t="s">
        <v>40</v>
      </c>
      <c r="I9" s="9" t="s">
        <v>41</v>
      </c>
      <c r="J9" s="9" t="s">
        <v>42</v>
      </c>
      <c r="K9" s="9" t="s">
        <v>43</v>
      </c>
      <c r="L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5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11" t="s">
        <v>44</v>
      </c>
      <c r="C12" s="11"/>
      <c r="D12" s="11"/>
      <c r="E12" s="11"/>
      <c r="F12" s="11"/>
      <c r="G12" s="11"/>
      <c r="H12" s="11"/>
      <c r="I12" s="11"/>
      <c r="J12" s="11"/>
      <c r="K12" s="11"/>
      <c r="L12" s="1"/>
    </row>
    <row r="13" customFormat="false" ht="19.5" hidden="false" customHeight="true" outlineLevel="0" collapsed="false">
      <c r="A13" s="1"/>
      <c r="B13" s="12" t="s">
        <v>45</v>
      </c>
      <c r="C13" s="12"/>
      <c r="D13" s="12"/>
      <c r="E13" s="12"/>
      <c r="F13" s="12"/>
      <c r="G13" s="12"/>
      <c r="H13" s="12"/>
      <c r="I13" s="12"/>
      <c r="J13" s="12"/>
      <c r="K13" s="12"/>
      <c r="L13" s="1"/>
    </row>
    <row r="14" customFormat="false" ht="19.5" hidden="false" customHeight="true" outlineLevel="0" collapsed="false">
      <c r="A14" s="1"/>
      <c r="B14" s="12" t="s">
        <v>46</v>
      </c>
      <c r="C14" s="12"/>
      <c r="D14" s="12"/>
      <c r="E14" s="12"/>
      <c r="F14" s="12"/>
      <c r="G14" s="12"/>
      <c r="H14" s="12"/>
      <c r="I14" s="12"/>
      <c r="J14" s="12"/>
      <c r="K14" s="12"/>
      <c r="L14" s="1"/>
    </row>
    <row r="15" customFormat="false" ht="19.5" hidden="false" customHeight="true" outlineLevel="0" collapsed="false">
      <c r="A15" s="1"/>
      <c r="B15" s="12" t="s">
        <v>47</v>
      </c>
      <c r="C15" s="12"/>
      <c r="D15" s="12"/>
      <c r="E15" s="12"/>
      <c r="F15" s="12"/>
      <c r="G15" s="12"/>
      <c r="H15" s="12"/>
      <c r="I15" s="12"/>
      <c r="J15" s="12"/>
      <c r="K15" s="12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6">
    <mergeCell ref="B2:K2"/>
    <mergeCell ref="B3:K3"/>
    <mergeCell ref="B12:K12"/>
    <mergeCell ref="B13:K13"/>
    <mergeCell ref="B14:K14"/>
    <mergeCell ref="B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J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2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1"/>
      <c r="B2" s="13" t="s">
        <v>48</v>
      </c>
      <c r="C2" s="13"/>
      <c r="D2" s="13"/>
      <c r="E2" s="13"/>
      <c r="F2" s="13"/>
      <c r="G2" s="13"/>
      <c r="H2" s="13"/>
      <c r="I2" s="13"/>
      <c r="J2" s="1"/>
    </row>
    <row r="3" customFormat="false" ht="15.75" hidden="false" customHeight="true" outlineLevel="0" collapsed="false">
      <c r="A3" s="1"/>
      <c r="B3" s="3" t="s">
        <v>49</v>
      </c>
      <c r="C3" s="3"/>
      <c r="D3" s="3"/>
      <c r="E3" s="3"/>
      <c r="F3" s="3"/>
      <c r="G3" s="3"/>
      <c r="H3" s="3"/>
      <c r="I3" s="3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7.75" hidden="false" customHeight="true" outlineLevel="0" collapsed="false">
      <c r="A5" s="1"/>
      <c r="B5" s="14" t="s">
        <v>50</v>
      </c>
      <c r="C5" s="14" t="s">
        <v>2</v>
      </c>
      <c r="D5" s="14" t="s">
        <v>3</v>
      </c>
      <c r="E5" s="14" t="s">
        <v>51</v>
      </c>
      <c r="F5" s="14" t="s">
        <v>6</v>
      </c>
      <c r="G5" s="14" t="s">
        <v>7</v>
      </c>
      <c r="H5" s="14" t="s">
        <v>52</v>
      </c>
      <c r="I5" s="14" t="s">
        <v>53</v>
      </c>
      <c r="J5" s="14" t="s">
        <v>11</v>
      </c>
    </row>
    <row r="6" customFormat="false" ht="21.75" hidden="false" customHeight="true" outlineLevel="0" collapsed="false">
      <c r="A6" s="1"/>
      <c r="B6" s="15" t="n">
        <v>46112</v>
      </c>
      <c r="C6" s="6" t="s">
        <v>12</v>
      </c>
      <c r="D6" s="6" t="s">
        <v>13</v>
      </c>
      <c r="E6" s="7" t="n">
        <v>2</v>
      </c>
      <c r="F6" s="16" t="s">
        <v>15</v>
      </c>
      <c r="G6" s="17" t="s">
        <v>54</v>
      </c>
      <c r="H6" s="17"/>
      <c r="I6" s="18"/>
      <c r="J6" s="18"/>
    </row>
    <row r="7" customFormat="false" ht="21.75" hidden="false" customHeight="true" outlineLevel="0" collapsed="false">
      <c r="A7" s="1"/>
      <c r="B7" s="19" t="n">
        <v>46112</v>
      </c>
      <c r="C7" s="9" t="s">
        <v>21</v>
      </c>
      <c r="D7" s="9" t="s">
        <v>22</v>
      </c>
      <c r="E7" s="10" t="n">
        <v>3</v>
      </c>
      <c r="F7" s="20" t="s">
        <v>15</v>
      </c>
      <c r="G7" s="21" t="s">
        <v>55</v>
      </c>
      <c r="H7" s="21"/>
      <c r="I7" s="22" t="s">
        <v>56</v>
      </c>
      <c r="J7" s="22"/>
    </row>
    <row r="8" customFormat="false" ht="21.75" hidden="false" customHeight="true" outlineLevel="0" collapsed="false">
      <c r="A8" s="1"/>
      <c r="B8" s="15" t="n">
        <v>46112</v>
      </c>
      <c r="C8" s="6" t="s">
        <v>28</v>
      </c>
      <c r="D8" s="6" t="s">
        <v>29</v>
      </c>
      <c r="E8" s="7" t="n">
        <v>1</v>
      </c>
      <c r="F8" s="16" t="s">
        <v>31</v>
      </c>
      <c r="G8" s="17" t="s">
        <v>55</v>
      </c>
      <c r="H8" s="17"/>
      <c r="I8" s="18"/>
      <c r="J8" s="18"/>
    </row>
    <row r="9" customFormat="false" ht="21.75" hidden="false" customHeight="true" outlineLevel="0" collapsed="false">
      <c r="A9" s="1"/>
      <c r="B9" s="19" t="n">
        <v>46112</v>
      </c>
      <c r="C9" s="9" t="s">
        <v>36</v>
      </c>
      <c r="D9" s="9" t="s">
        <v>29</v>
      </c>
      <c r="E9" s="10" t="n">
        <v>6</v>
      </c>
      <c r="F9" s="20" t="s">
        <v>38</v>
      </c>
      <c r="G9" s="21" t="s">
        <v>57</v>
      </c>
      <c r="H9" s="21" t="n">
        <v>82</v>
      </c>
      <c r="I9" s="22" t="s">
        <v>56</v>
      </c>
      <c r="J9" s="22" t="s">
        <v>58</v>
      </c>
    </row>
    <row r="10" customFormat="false" ht="19.5" hidden="false" customHeight="true" outlineLevel="0" collapsed="false">
      <c r="A10" s="1"/>
      <c r="B10" s="23"/>
      <c r="C10" s="24"/>
      <c r="D10" s="24"/>
      <c r="E10" s="24"/>
      <c r="F10" s="24"/>
      <c r="G10" s="24"/>
      <c r="H10" s="24"/>
      <c r="I10" s="24"/>
      <c r="J10" s="24"/>
    </row>
    <row r="11" customFormat="false" ht="19.5" hidden="false" customHeight="true" outlineLevel="0" collapsed="false">
      <c r="A11" s="1"/>
      <c r="B11" s="25"/>
      <c r="C11" s="26"/>
      <c r="D11" s="26"/>
      <c r="E11" s="26"/>
      <c r="F11" s="26"/>
      <c r="G11" s="26"/>
      <c r="H11" s="26"/>
      <c r="I11" s="26"/>
      <c r="J11" s="26"/>
    </row>
    <row r="12" customFormat="false" ht="19.5" hidden="false" customHeight="true" outlineLevel="0" collapsed="false">
      <c r="A12" s="1"/>
      <c r="B12" s="23"/>
      <c r="C12" s="24"/>
      <c r="D12" s="24"/>
      <c r="E12" s="24"/>
      <c r="F12" s="24"/>
      <c r="G12" s="24"/>
      <c r="H12" s="24"/>
      <c r="I12" s="24"/>
      <c r="J12" s="24"/>
    </row>
    <row r="13" customFormat="false" ht="19.5" hidden="false" customHeight="true" outlineLevel="0" collapsed="false">
      <c r="A13" s="1"/>
      <c r="B13" s="25"/>
      <c r="C13" s="26"/>
      <c r="D13" s="26"/>
      <c r="E13" s="26"/>
      <c r="F13" s="26"/>
      <c r="G13" s="26"/>
      <c r="H13" s="26"/>
      <c r="I13" s="26"/>
      <c r="J13" s="26"/>
    </row>
    <row r="14" customFormat="false" ht="19.5" hidden="false" customHeight="true" outlineLevel="0" collapsed="false">
      <c r="A14" s="1"/>
      <c r="B14" s="23"/>
      <c r="C14" s="24"/>
      <c r="D14" s="24"/>
      <c r="E14" s="24"/>
      <c r="F14" s="24"/>
      <c r="G14" s="24"/>
      <c r="H14" s="24"/>
      <c r="I14" s="24"/>
      <c r="J14" s="24"/>
    </row>
    <row r="15" customFormat="false" ht="19.5" hidden="false" customHeight="true" outlineLevel="0" collapsed="false">
      <c r="A15" s="1"/>
      <c r="B15" s="25"/>
      <c r="C15" s="26"/>
      <c r="D15" s="26"/>
      <c r="E15" s="26"/>
      <c r="F15" s="26"/>
      <c r="G15" s="26"/>
      <c r="H15" s="26"/>
      <c r="I15" s="26"/>
      <c r="J15" s="26"/>
    </row>
    <row r="16" customFormat="false" ht="19.5" hidden="false" customHeight="true" outlineLevel="0" collapsed="false">
      <c r="A16" s="1"/>
      <c r="B16" s="23"/>
      <c r="C16" s="24"/>
      <c r="D16" s="24"/>
      <c r="E16" s="24"/>
      <c r="F16" s="24"/>
      <c r="G16" s="24"/>
      <c r="H16" s="24"/>
      <c r="I16" s="24"/>
      <c r="J16" s="24"/>
    </row>
    <row r="17" customFormat="false" ht="19.5" hidden="false" customHeight="true" outlineLevel="0" collapsed="false">
      <c r="A17" s="1"/>
      <c r="B17" s="25"/>
      <c r="C17" s="26"/>
      <c r="D17" s="26"/>
      <c r="E17" s="26"/>
      <c r="F17" s="26"/>
      <c r="G17" s="26"/>
      <c r="H17" s="26"/>
      <c r="I17" s="26"/>
      <c r="J17" s="26"/>
    </row>
    <row r="18" customFormat="false" ht="19.5" hidden="false" customHeight="true" outlineLevel="0" collapsed="false">
      <c r="A18" s="1"/>
      <c r="B18" s="23"/>
      <c r="C18" s="24"/>
      <c r="D18" s="24"/>
      <c r="E18" s="24"/>
      <c r="F18" s="24"/>
      <c r="G18" s="24"/>
      <c r="H18" s="24"/>
      <c r="I18" s="24"/>
      <c r="J18" s="24"/>
    </row>
    <row r="19" customFormat="false" ht="19.5" hidden="false" customHeight="true" outlineLevel="0" collapsed="false">
      <c r="A19" s="1"/>
      <c r="B19" s="25"/>
      <c r="C19" s="26"/>
      <c r="D19" s="26"/>
      <c r="E19" s="26"/>
      <c r="F19" s="26"/>
      <c r="G19" s="26"/>
      <c r="H19" s="26"/>
      <c r="I19" s="26"/>
      <c r="J19" s="26"/>
    </row>
    <row r="20" customFormat="false" ht="19.5" hidden="false" customHeight="true" outlineLevel="0" collapsed="false">
      <c r="A20" s="1"/>
      <c r="B20" s="23"/>
      <c r="C20" s="24"/>
      <c r="D20" s="24"/>
      <c r="E20" s="24"/>
      <c r="F20" s="24"/>
      <c r="G20" s="24"/>
      <c r="H20" s="24"/>
      <c r="I20" s="24"/>
      <c r="J20" s="24"/>
    </row>
    <row r="21" customFormat="false" ht="19.5" hidden="false" customHeight="true" outlineLevel="0" collapsed="false">
      <c r="A21" s="1"/>
      <c r="B21" s="25"/>
      <c r="C21" s="26"/>
      <c r="D21" s="26"/>
      <c r="E21" s="26"/>
      <c r="F21" s="26"/>
      <c r="G21" s="26"/>
      <c r="H21" s="26"/>
      <c r="I21" s="26"/>
      <c r="J21" s="26"/>
    </row>
    <row r="22" customFormat="false" ht="19.5" hidden="false" customHeight="true" outlineLevel="0" collapsed="false">
      <c r="A22" s="1"/>
      <c r="B22" s="23"/>
      <c r="C22" s="24"/>
      <c r="D22" s="24"/>
      <c r="E22" s="24"/>
      <c r="F22" s="24"/>
      <c r="G22" s="24"/>
      <c r="H22" s="24"/>
      <c r="I22" s="24"/>
      <c r="J22" s="24"/>
    </row>
    <row r="23" customFormat="false" ht="19.5" hidden="false" customHeight="true" outlineLevel="0" collapsed="false">
      <c r="A23" s="1"/>
      <c r="B23" s="25"/>
      <c r="C23" s="26"/>
      <c r="D23" s="26"/>
      <c r="E23" s="26"/>
      <c r="F23" s="26"/>
      <c r="G23" s="26"/>
      <c r="H23" s="26"/>
      <c r="I23" s="26"/>
      <c r="J23" s="26"/>
    </row>
    <row r="24" customFormat="false" ht="19.5" hidden="false" customHeight="true" outlineLevel="0" collapsed="false">
      <c r="A24" s="1"/>
      <c r="B24" s="23"/>
      <c r="C24" s="24"/>
      <c r="D24" s="24"/>
      <c r="E24" s="24"/>
      <c r="F24" s="24"/>
      <c r="G24" s="24"/>
      <c r="H24" s="24"/>
      <c r="I24" s="24"/>
      <c r="J24" s="24"/>
    </row>
    <row r="25" customFormat="false" ht="19.5" hidden="false" customHeight="true" outlineLevel="0" collapsed="false">
      <c r="A25" s="1"/>
      <c r="B25" s="25"/>
      <c r="C25" s="26"/>
      <c r="D25" s="26"/>
      <c r="E25" s="26"/>
      <c r="F25" s="26"/>
      <c r="G25" s="26"/>
      <c r="H25" s="26"/>
      <c r="I25" s="26"/>
      <c r="J25" s="26"/>
    </row>
    <row r="26" customFormat="false" ht="19.5" hidden="false" customHeight="true" outlineLevel="0" collapsed="false">
      <c r="A26" s="1"/>
      <c r="B26" s="23"/>
      <c r="C26" s="24"/>
      <c r="D26" s="24"/>
      <c r="E26" s="24"/>
      <c r="F26" s="24"/>
      <c r="G26" s="24"/>
      <c r="H26" s="24"/>
      <c r="I26" s="24"/>
      <c r="J26" s="24"/>
    </row>
    <row r="27" customFormat="false" ht="19.5" hidden="false" customHeight="true" outlineLevel="0" collapsed="false">
      <c r="A27" s="1"/>
      <c r="B27" s="25"/>
      <c r="C27" s="26"/>
      <c r="D27" s="26"/>
      <c r="E27" s="26"/>
      <c r="F27" s="26"/>
      <c r="G27" s="26"/>
      <c r="H27" s="26"/>
      <c r="I27" s="26"/>
      <c r="J27" s="26"/>
    </row>
    <row r="28" customFormat="false" ht="19.5" hidden="false" customHeight="true" outlineLevel="0" collapsed="false">
      <c r="A28" s="1"/>
      <c r="B28" s="23"/>
      <c r="C28" s="24"/>
      <c r="D28" s="24"/>
      <c r="E28" s="24"/>
      <c r="F28" s="24"/>
      <c r="G28" s="24"/>
      <c r="H28" s="24"/>
      <c r="I28" s="24"/>
      <c r="J28" s="24"/>
    </row>
    <row r="29" customFormat="false" ht="19.5" hidden="false" customHeight="true" outlineLevel="0" collapsed="false">
      <c r="A29" s="1"/>
      <c r="B29" s="25"/>
      <c r="C29" s="26"/>
      <c r="D29" s="26"/>
      <c r="E29" s="26"/>
      <c r="F29" s="26"/>
      <c r="G29" s="26"/>
      <c r="H29" s="26"/>
      <c r="I29" s="26"/>
      <c r="J29" s="26"/>
    </row>
    <row r="30" customFormat="false" ht="19.5" hidden="false" customHeight="true" outlineLevel="0" collapsed="false">
      <c r="A30" s="1"/>
      <c r="B30" s="23"/>
      <c r="C30" s="24"/>
      <c r="D30" s="24"/>
      <c r="E30" s="24"/>
      <c r="F30" s="24"/>
      <c r="G30" s="24"/>
      <c r="H30" s="24"/>
      <c r="I30" s="24"/>
      <c r="J30" s="24"/>
    </row>
    <row r="31" customFormat="false" ht="19.5" hidden="false" customHeight="true" outlineLevel="0" collapsed="false">
      <c r="A31" s="1"/>
      <c r="B31" s="25"/>
      <c r="C31" s="26"/>
      <c r="D31" s="26"/>
      <c r="E31" s="26"/>
      <c r="F31" s="26"/>
      <c r="G31" s="26"/>
      <c r="H31" s="26"/>
      <c r="I31" s="26"/>
      <c r="J31" s="26"/>
    </row>
    <row r="32" customFormat="false" ht="19.5" hidden="false" customHeight="true" outlineLevel="0" collapsed="false">
      <c r="A32" s="1"/>
      <c r="B32" s="23"/>
      <c r="C32" s="24"/>
      <c r="D32" s="24"/>
      <c r="E32" s="24"/>
      <c r="F32" s="24"/>
      <c r="G32" s="24"/>
      <c r="H32" s="24"/>
      <c r="I32" s="24"/>
      <c r="J32" s="24"/>
    </row>
    <row r="33" customFormat="false" ht="19.5" hidden="false" customHeight="true" outlineLevel="0" collapsed="false">
      <c r="A33" s="1"/>
      <c r="B33" s="25"/>
      <c r="C33" s="26"/>
      <c r="D33" s="26"/>
      <c r="E33" s="26"/>
      <c r="F33" s="26"/>
      <c r="G33" s="26"/>
      <c r="H33" s="26"/>
      <c r="I33" s="26"/>
      <c r="J33" s="26"/>
    </row>
    <row r="34" customFormat="false" ht="19.5" hidden="false" customHeight="true" outlineLevel="0" collapsed="false">
      <c r="A34" s="1"/>
      <c r="B34" s="23"/>
      <c r="C34" s="24"/>
      <c r="D34" s="24"/>
      <c r="E34" s="24"/>
      <c r="F34" s="24"/>
      <c r="G34" s="24"/>
      <c r="H34" s="24"/>
      <c r="I34" s="24"/>
      <c r="J34" s="24"/>
    </row>
    <row r="35" customFormat="false" ht="19.5" hidden="false" customHeight="true" outlineLevel="0" collapsed="false">
      <c r="A35" s="1"/>
      <c r="B35" s="25"/>
      <c r="C35" s="26"/>
      <c r="D35" s="26"/>
      <c r="E35" s="26"/>
      <c r="F35" s="26"/>
      <c r="G35" s="26"/>
      <c r="H35" s="26"/>
      <c r="I35" s="26"/>
      <c r="J35" s="26"/>
    </row>
    <row r="36" customFormat="false" ht="19.5" hidden="false" customHeight="true" outlineLevel="0" collapsed="false">
      <c r="A36" s="1"/>
      <c r="B36" s="23"/>
      <c r="C36" s="24"/>
      <c r="D36" s="24"/>
      <c r="E36" s="24"/>
      <c r="F36" s="24"/>
      <c r="G36" s="24"/>
      <c r="H36" s="24"/>
      <c r="I36" s="24"/>
      <c r="J36" s="24"/>
    </row>
    <row r="37" customFormat="false" ht="19.5" hidden="false" customHeight="true" outlineLevel="0" collapsed="false">
      <c r="A37" s="1"/>
      <c r="B37" s="25"/>
      <c r="C37" s="26"/>
      <c r="D37" s="26"/>
      <c r="E37" s="26"/>
      <c r="F37" s="26"/>
      <c r="G37" s="26"/>
      <c r="H37" s="26"/>
      <c r="I37" s="26"/>
      <c r="J37" s="26"/>
    </row>
    <row r="38" customFormat="false" ht="19.5" hidden="false" customHeight="true" outlineLevel="0" collapsed="false">
      <c r="A38" s="1"/>
      <c r="B38" s="23"/>
      <c r="C38" s="24"/>
      <c r="D38" s="24"/>
      <c r="E38" s="24"/>
      <c r="F38" s="24"/>
      <c r="G38" s="24"/>
      <c r="H38" s="24"/>
      <c r="I38" s="24"/>
      <c r="J38" s="24"/>
    </row>
    <row r="39" customFormat="false" ht="19.5" hidden="false" customHeight="true" outlineLevel="0" collapsed="false">
      <c r="A39" s="1"/>
      <c r="B39" s="25"/>
      <c r="C39" s="26"/>
      <c r="D39" s="26"/>
      <c r="E39" s="26"/>
      <c r="F39" s="26"/>
      <c r="G39" s="26"/>
      <c r="H39" s="26"/>
      <c r="I39" s="26"/>
      <c r="J39" s="26"/>
    </row>
    <row r="40" customFormat="false" ht="19.5" hidden="false" customHeight="true" outlineLevel="0" collapsed="false">
      <c r="A40" s="1"/>
      <c r="B40" s="23"/>
      <c r="C40" s="24"/>
      <c r="D40" s="24"/>
      <c r="E40" s="24"/>
      <c r="F40" s="24"/>
      <c r="G40" s="24"/>
      <c r="H40" s="24"/>
      <c r="I40" s="24"/>
      <c r="J40" s="24"/>
    </row>
    <row r="41" customFormat="false" ht="19.5" hidden="false" customHeight="true" outlineLevel="0" collapsed="false">
      <c r="A41" s="1"/>
      <c r="B41" s="25"/>
      <c r="C41" s="26"/>
      <c r="D41" s="26"/>
      <c r="E41" s="26"/>
      <c r="F41" s="26"/>
      <c r="G41" s="26"/>
      <c r="H41" s="26"/>
      <c r="I41" s="26"/>
      <c r="J41" s="26"/>
    </row>
    <row r="42" customFormat="false" ht="19.5" hidden="false" customHeight="true" outlineLevel="0" collapsed="false">
      <c r="A42" s="1"/>
      <c r="B42" s="23"/>
      <c r="C42" s="24"/>
      <c r="D42" s="24"/>
      <c r="E42" s="24"/>
      <c r="F42" s="24"/>
      <c r="G42" s="24"/>
      <c r="H42" s="24"/>
      <c r="I42" s="24"/>
      <c r="J42" s="24"/>
    </row>
    <row r="43" customFormat="false" ht="19.5" hidden="false" customHeight="true" outlineLevel="0" collapsed="false">
      <c r="A43" s="1"/>
      <c r="B43" s="25"/>
      <c r="C43" s="26"/>
      <c r="D43" s="26"/>
      <c r="E43" s="26"/>
      <c r="F43" s="26"/>
      <c r="G43" s="26"/>
      <c r="H43" s="26"/>
      <c r="I43" s="26"/>
      <c r="J43" s="26"/>
    </row>
    <row r="44" customFormat="false" ht="19.5" hidden="false" customHeight="true" outlineLevel="0" collapsed="false">
      <c r="A44" s="1"/>
      <c r="B44" s="23"/>
      <c r="C44" s="24"/>
      <c r="D44" s="24"/>
      <c r="E44" s="24"/>
      <c r="F44" s="24"/>
      <c r="G44" s="24"/>
      <c r="H44" s="24"/>
      <c r="I44" s="24"/>
      <c r="J44" s="24"/>
    </row>
    <row r="45" customFormat="false" ht="19.5" hidden="false" customHeight="true" outlineLevel="0" collapsed="false">
      <c r="A45" s="1"/>
      <c r="B45" s="25"/>
      <c r="C45" s="26"/>
      <c r="D45" s="26"/>
      <c r="E45" s="26"/>
      <c r="F45" s="26"/>
      <c r="G45" s="26"/>
      <c r="H45" s="26"/>
      <c r="I45" s="26"/>
      <c r="J45" s="26"/>
    </row>
    <row r="46" customFormat="false" ht="19.5" hidden="false" customHeight="true" outlineLevel="0" collapsed="false">
      <c r="A46" s="1"/>
      <c r="B46" s="23"/>
      <c r="C46" s="24"/>
      <c r="D46" s="24"/>
      <c r="E46" s="24"/>
      <c r="F46" s="24"/>
      <c r="G46" s="24"/>
      <c r="H46" s="24"/>
      <c r="I46" s="24"/>
      <c r="J46" s="24"/>
    </row>
    <row r="47" customFormat="false" ht="19.5" hidden="false" customHeight="true" outlineLevel="0" collapsed="false">
      <c r="A47" s="1"/>
      <c r="B47" s="25"/>
      <c r="C47" s="26"/>
      <c r="D47" s="26"/>
      <c r="E47" s="26"/>
      <c r="F47" s="26"/>
      <c r="G47" s="26"/>
      <c r="H47" s="26"/>
      <c r="I47" s="26"/>
      <c r="J47" s="26"/>
    </row>
    <row r="48" customFormat="false" ht="19.5" hidden="false" customHeight="true" outlineLevel="0" collapsed="false">
      <c r="A48" s="1"/>
      <c r="B48" s="23"/>
      <c r="C48" s="24"/>
      <c r="D48" s="24"/>
      <c r="E48" s="24"/>
      <c r="F48" s="24"/>
      <c r="G48" s="24"/>
      <c r="H48" s="24"/>
      <c r="I48" s="24"/>
      <c r="J48" s="24"/>
    </row>
    <row r="49" customFormat="false" ht="19.5" hidden="false" customHeight="true" outlineLevel="0" collapsed="false">
      <c r="A49" s="1"/>
      <c r="B49" s="25"/>
      <c r="C49" s="26"/>
      <c r="D49" s="26"/>
      <c r="E49" s="26"/>
      <c r="F49" s="26"/>
      <c r="G49" s="26"/>
      <c r="H49" s="26"/>
      <c r="I49" s="26"/>
      <c r="J49" s="26"/>
    </row>
    <row r="50" customFormat="false" ht="19.5" hidden="false" customHeight="true" outlineLevel="0" collapsed="false">
      <c r="A50" s="1"/>
      <c r="B50" s="23"/>
      <c r="C50" s="24"/>
      <c r="D50" s="24"/>
      <c r="E50" s="24"/>
      <c r="F50" s="24"/>
      <c r="G50" s="24"/>
      <c r="H50" s="24"/>
      <c r="I50" s="24"/>
      <c r="J50" s="24"/>
    </row>
    <row r="51" customFormat="false" ht="19.5" hidden="false" customHeight="true" outlineLevel="0" collapsed="false">
      <c r="A51" s="1"/>
      <c r="B51" s="25"/>
      <c r="C51" s="26"/>
      <c r="D51" s="26"/>
      <c r="E51" s="26"/>
      <c r="F51" s="26"/>
      <c r="G51" s="26"/>
      <c r="H51" s="26"/>
      <c r="I51" s="26"/>
      <c r="J51" s="26"/>
    </row>
    <row r="52" customFormat="false" ht="19.5" hidden="false" customHeight="true" outlineLevel="0" collapsed="false">
      <c r="A52" s="1"/>
      <c r="B52" s="23"/>
      <c r="C52" s="24"/>
      <c r="D52" s="24"/>
      <c r="E52" s="24"/>
      <c r="F52" s="24"/>
      <c r="G52" s="24"/>
      <c r="H52" s="24"/>
      <c r="I52" s="24"/>
      <c r="J52" s="24"/>
    </row>
    <row r="53" customFormat="false" ht="19.5" hidden="false" customHeight="true" outlineLevel="0" collapsed="false">
      <c r="A53" s="1"/>
      <c r="B53" s="25"/>
      <c r="C53" s="26"/>
      <c r="D53" s="26"/>
      <c r="E53" s="26"/>
      <c r="F53" s="26"/>
      <c r="G53" s="26"/>
      <c r="H53" s="26"/>
      <c r="I53" s="26"/>
      <c r="J53" s="26"/>
    </row>
    <row r="54" customFormat="false" ht="19.5" hidden="false" customHeight="true" outlineLevel="0" collapsed="false">
      <c r="A54" s="1"/>
      <c r="B54" s="23"/>
      <c r="C54" s="24"/>
      <c r="D54" s="24"/>
      <c r="E54" s="24"/>
      <c r="F54" s="24"/>
      <c r="G54" s="24"/>
      <c r="H54" s="24"/>
      <c r="I54" s="24"/>
      <c r="J54" s="24"/>
    </row>
    <row r="55" customFormat="false" ht="19.5" hidden="false" customHeight="true" outlineLevel="0" collapsed="false">
      <c r="A55" s="1"/>
      <c r="B55" s="25"/>
      <c r="C55" s="26"/>
      <c r="D55" s="26"/>
      <c r="E55" s="26"/>
      <c r="F55" s="26"/>
      <c r="G55" s="26"/>
      <c r="H55" s="26"/>
      <c r="I55" s="26"/>
      <c r="J55" s="26"/>
    </row>
    <row r="56" customFormat="false" ht="19.5" hidden="false" customHeight="true" outlineLevel="0" collapsed="false">
      <c r="A56" s="1"/>
      <c r="B56" s="23"/>
      <c r="C56" s="24"/>
      <c r="D56" s="24"/>
      <c r="E56" s="24"/>
      <c r="F56" s="24"/>
      <c r="G56" s="24"/>
      <c r="H56" s="24"/>
      <c r="I56" s="24"/>
      <c r="J56" s="24"/>
    </row>
    <row r="57" customFormat="false" ht="19.5" hidden="false" customHeight="true" outlineLevel="0" collapsed="false">
      <c r="A57" s="1"/>
      <c r="B57" s="25"/>
      <c r="C57" s="26"/>
      <c r="D57" s="26"/>
      <c r="E57" s="26"/>
      <c r="F57" s="26"/>
      <c r="G57" s="26"/>
      <c r="H57" s="26"/>
      <c r="I57" s="26"/>
      <c r="J57" s="26"/>
    </row>
    <row r="58" customFormat="false" ht="19.5" hidden="false" customHeight="true" outlineLevel="0" collapsed="false">
      <c r="A58" s="1"/>
      <c r="B58" s="23"/>
      <c r="C58" s="24"/>
      <c r="D58" s="24"/>
      <c r="E58" s="24"/>
      <c r="F58" s="24"/>
      <c r="G58" s="24"/>
      <c r="H58" s="24"/>
      <c r="I58" s="24"/>
      <c r="J58" s="24"/>
    </row>
    <row r="59" customFormat="false" ht="19.5" hidden="false" customHeight="true" outlineLevel="0" collapsed="false">
      <c r="A59" s="1"/>
      <c r="B59" s="25"/>
      <c r="C59" s="26"/>
      <c r="D59" s="26"/>
      <c r="E59" s="26"/>
      <c r="F59" s="26"/>
      <c r="G59" s="26"/>
      <c r="H59" s="26"/>
      <c r="I59" s="26"/>
      <c r="J59" s="26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customFormat="false" ht="1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customFormat="false" ht="1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customFormat="false" ht="1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customFormat="false" ht="1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customFormat="false" ht="1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customFormat="false" ht="1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customFormat="false" ht="1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customFormat="false" ht="1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customFormat="false" ht="1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customFormat="false" ht="1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customFormat="false" ht="1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customFormat="false" ht="1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customFormat="false" ht="1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customFormat="false" ht="1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customFormat="false" ht="1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customFormat="false" ht="1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customFormat="false" ht="1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customFormat="false" ht="1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customFormat="false" ht="1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customFormat="false" ht="1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customFormat="false" ht="1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customFormat="false" ht="1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customFormat="false" ht="1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customFormat="false" ht="1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customFormat="false" ht="1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customFormat="false" ht="1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customFormat="false" ht="1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customFormat="false" ht="1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customFormat="false" ht="1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customFormat="false" ht="1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customFormat="false" ht="1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customFormat="false" ht="1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customFormat="false" ht="1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customFormat="false" ht="1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customFormat="false" ht="1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customFormat="false" ht="1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customFormat="false" ht="1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customFormat="false" ht="1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customFormat="false" ht="1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customFormat="false" ht="1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customFormat="false" ht="1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customFormat="false" ht="1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customFormat="false" ht="1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customFormat="false" ht="1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customFormat="false" ht="1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customFormat="false" ht="1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customFormat="false" ht="1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customFormat="false" ht="1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customFormat="false" ht="1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customFormat="false" ht="1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customFormat="false" ht="1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customFormat="false" ht="1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customFormat="false" ht="1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customFormat="false" ht="1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customFormat="false" ht="1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customFormat="false" ht="1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customFormat="false" ht="1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customFormat="false" ht="1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customFormat="false" ht="1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customFormat="false" ht="1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customFormat="false" ht="1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customFormat="false" ht="1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customFormat="false" ht="1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customFormat="false" ht="1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customFormat="false" ht="1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customFormat="false" ht="1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customFormat="false" ht="1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customFormat="false" ht="1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customFormat="false" ht="1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customFormat="false" ht="1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customFormat="false" ht="1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customFormat="false" ht="1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customFormat="false" ht="1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customFormat="false" ht="1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customFormat="false" ht="1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customFormat="false" ht="1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customFormat="false" ht="1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customFormat="false" ht="1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customFormat="false" ht="1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customFormat="false" ht="1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customFormat="false" ht="1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customFormat="false" ht="1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customFormat="false" ht="1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customFormat="false" ht="1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customFormat="false" ht="1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customFormat="false" ht="1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customFormat="false" ht="1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customFormat="false" ht="1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customFormat="false" ht="1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customFormat="false" ht="1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customFormat="false" ht="1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customFormat="false" ht="1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customFormat="false" ht="1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customFormat="false" ht="1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customFormat="false" ht="1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customFormat="false" ht="1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customFormat="false" ht="1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customFormat="false" ht="1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customFormat="false" ht="1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customFormat="false" ht="1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customFormat="false" ht="1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customFormat="false" ht="1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customFormat="false" ht="1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customFormat="false" ht="1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customFormat="false" ht="1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customFormat="false" ht="1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customFormat="false" ht="1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customFormat="false" ht="1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customFormat="false" ht="1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customFormat="false" ht="1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customFormat="false" ht="1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customFormat="false" ht="1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customFormat="false" ht="1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customFormat="false" ht="1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customFormat="false" ht="1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customFormat="false" ht="1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customFormat="false" ht="1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customFormat="false" ht="1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customFormat="false" ht="1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customFormat="false" ht="1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customFormat="false" ht="1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customFormat="false" ht="1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customFormat="false" ht="1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customFormat="false" ht="1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customFormat="false" ht="1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customFormat="false" ht="1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customFormat="false" ht="1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customFormat="false" ht="1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customFormat="false" ht="1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customFormat="false" ht="1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customFormat="false" ht="1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9" min="3" style="0" width="7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1"/>
      <c r="B2" s="27" t="s">
        <v>59</v>
      </c>
      <c r="C2" s="27"/>
      <c r="D2" s="27"/>
      <c r="E2" s="27"/>
      <c r="F2" s="27"/>
      <c r="G2" s="27"/>
      <c r="H2" s="27"/>
      <c r="I2" s="27"/>
      <c r="J2" s="1"/>
      <c r="K2" s="1"/>
      <c r="L2" s="1"/>
    </row>
    <row r="3" customFormat="false" ht="15.75" hidden="false" customHeight="true" outlineLevel="0" collapsed="false">
      <c r="A3" s="1"/>
      <c r="B3" s="3" t="s">
        <v>60</v>
      </c>
      <c r="C3" s="3"/>
      <c r="D3" s="3"/>
      <c r="E3" s="3"/>
      <c r="F3" s="3"/>
      <c r="G3" s="3"/>
      <c r="H3" s="3"/>
      <c r="I3" s="3"/>
      <c r="J3" s="1"/>
      <c r="K3" s="1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1.75" hidden="false" customHeight="true" outlineLevel="0" collapsed="false">
      <c r="A5" s="1"/>
      <c r="B5" s="28" t="s">
        <v>61</v>
      </c>
      <c r="C5" s="1"/>
      <c r="D5" s="29" t="n">
        <v>46111</v>
      </c>
      <c r="E5" s="30" t="s">
        <v>62</v>
      </c>
      <c r="F5" s="29" t="n">
        <f aca="false">D5+6</f>
        <v>46117</v>
      </c>
      <c r="G5" s="1"/>
      <c r="H5" s="1"/>
      <c r="I5" s="1"/>
      <c r="J5" s="1"/>
      <c r="K5" s="1"/>
      <c r="L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27.75" hidden="false" customHeight="true" outlineLevel="0" collapsed="false">
      <c r="A7" s="1"/>
      <c r="B7" s="31" t="s">
        <v>2</v>
      </c>
      <c r="C7" s="32" t="s">
        <v>63</v>
      </c>
      <c r="D7" s="32" t="s">
        <v>64</v>
      </c>
      <c r="E7" s="32" t="s">
        <v>65</v>
      </c>
      <c r="F7" s="32" t="s">
        <v>66</v>
      </c>
      <c r="G7" s="32" t="s">
        <v>67</v>
      </c>
      <c r="H7" s="32" t="s">
        <v>68</v>
      </c>
      <c r="I7" s="32" t="s">
        <v>69</v>
      </c>
      <c r="J7" s="33" t="s">
        <v>70</v>
      </c>
      <c r="K7" s="31" t="s">
        <v>71</v>
      </c>
      <c r="L7" s="33" t="s">
        <v>72</v>
      </c>
    </row>
    <row r="8" customFormat="false" ht="24" hidden="false" customHeight="true" outlineLevel="0" collapsed="false">
      <c r="A8" s="1"/>
      <c r="B8" s="5" t="s">
        <v>73</v>
      </c>
      <c r="C8" s="34" t="n">
        <f aca="false">COUNTIFS('Dagelijks Log'!B:B,Weekoverzicht!$D$5+0,'Dagelijks Log'!C:C,"*Magnesium Bi*")</f>
        <v>0</v>
      </c>
      <c r="D8" s="34" t="n">
        <f aca="false">COUNTIFS('Dagelijks Log'!B:B,Weekoverzicht!$D$5+1,'Dagelijks Log'!C:C,"*Magnesium Bi*")</f>
        <v>1</v>
      </c>
      <c r="E8" s="34" t="n">
        <f aca="false">COUNTIFS('Dagelijks Log'!B:B,Weekoverzicht!$D$5+2,'Dagelijks Log'!C:C,"*Magnesium Bi*")</f>
        <v>0</v>
      </c>
      <c r="F8" s="34" t="n">
        <f aca="false">COUNTIFS('Dagelijks Log'!B:B,Weekoverzicht!$D$5+3,'Dagelijks Log'!C:C,"*Magnesium Bi*")</f>
        <v>0</v>
      </c>
      <c r="G8" s="34" t="n">
        <f aca="false">COUNTIFS('Dagelijks Log'!B:B,Weekoverzicht!$D$5+4,'Dagelijks Log'!C:C,"*Magnesium Bi*")</f>
        <v>0</v>
      </c>
      <c r="H8" s="34" t="n">
        <f aca="false">COUNTIFS('Dagelijks Log'!B:B,Weekoverzicht!$D$5+5,'Dagelijks Log'!C:C,"*Magnesium Bi*")</f>
        <v>0</v>
      </c>
      <c r="I8" s="34" t="n">
        <f aca="false">COUNTIFS('Dagelijks Log'!B:B,Weekoverzicht!$D$5+6,'Dagelijks Log'!C:C,"*Magnesium Bi*")</f>
        <v>0</v>
      </c>
      <c r="J8" s="35" t="n">
        <f aca="false">C8+D8+E8+F8+G8+H8+I8</f>
        <v>1</v>
      </c>
      <c r="K8" s="36" t="n">
        <v>7</v>
      </c>
      <c r="L8" s="37" t="n">
        <f aca="false">IF(K8&gt;0,J8/K8,0)</f>
        <v>0.142857142857143</v>
      </c>
    </row>
    <row r="9" customFormat="false" ht="24" hidden="false" customHeight="true" outlineLevel="0" collapsed="false">
      <c r="A9" s="1"/>
      <c r="B9" s="8" t="s">
        <v>21</v>
      </c>
      <c r="C9" s="38" t="n">
        <f aca="false">COUNTIFS('Dagelijks Log'!B:B,Weekoverzicht!$D$5+0,'Dagelijks Log'!C:C,"*Opti-Men Mul*")</f>
        <v>0</v>
      </c>
      <c r="D9" s="38" t="n">
        <f aca="false">COUNTIFS('Dagelijks Log'!B:B,Weekoverzicht!$D$5+1,'Dagelijks Log'!C:C,"*Opti-Men Mul*")</f>
        <v>1</v>
      </c>
      <c r="E9" s="38" t="n">
        <f aca="false">COUNTIFS('Dagelijks Log'!B:B,Weekoverzicht!$D$5+2,'Dagelijks Log'!C:C,"*Opti-Men Mul*")</f>
        <v>0</v>
      </c>
      <c r="F9" s="38" t="n">
        <f aca="false">COUNTIFS('Dagelijks Log'!B:B,Weekoverzicht!$D$5+3,'Dagelijks Log'!C:C,"*Opti-Men Mul*")</f>
        <v>0</v>
      </c>
      <c r="G9" s="38" t="n">
        <f aca="false">COUNTIFS('Dagelijks Log'!B:B,Weekoverzicht!$D$5+4,'Dagelijks Log'!C:C,"*Opti-Men Mul*")</f>
        <v>0</v>
      </c>
      <c r="H9" s="38" t="n">
        <f aca="false">COUNTIFS('Dagelijks Log'!B:B,Weekoverzicht!$D$5+5,'Dagelijks Log'!C:C,"*Opti-Men Mul*")</f>
        <v>0</v>
      </c>
      <c r="I9" s="38" t="n">
        <f aca="false">COUNTIFS('Dagelijks Log'!B:B,Weekoverzicht!$D$5+6,'Dagelijks Log'!C:C,"*Opti-Men Mul*")</f>
        <v>0</v>
      </c>
      <c r="J9" s="39" t="n">
        <f aca="false">C9+D9+E9+F9+G9+H9+I9</f>
        <v>1</v>
      </c>
      <c r="K9" s="40" t="n">
        <v>7</v>
      </c>
      <c r="L9" s="41" t="n">
        <f aca="false">IF(K9&gt;0,J9/K9,0)</f>
        <v>0.142857142857143</v>
      </c>
    </row>
    <row r="10" customFormat="false" ht="24" hidden="false" customHeight="true" outlineLevel="0" collapsed="false">
      <c r="A10" s="1"/>
      <c r="B10" s="5" t="s">
        <v>28</v>
      </c>
      <c r="C10" s="34" t="n">
        <f aca="false">COUNTIFS('Dagelijks Log'!B:B,Weekoverzicht!$D$5+0,'Dagelijks Log'!C:C,"*Omega-3 + Vi*")</f>
        <v>0</v>
      </c>
      <c r="D10" s="34" t="n">
        <f aca="false">COUNTIFS('Dagelijks Log'!B:B,Weekoverzicht!$D$5+1,'Dagelijks Log'!C:C,"*Omega-3 + Vi*")</f>
        <v>1</v>
      </c>
      <c r="E10" s="34" t="n">
        <f aca="false">COUNTIFS('Dagelijks Log'!B:B,Weekoverzicht!$D$5+2,'Dagelijks Log'!C:C,"*Omega-3 + Vi*")</f>
        <v>0</v>
      </c>
      <c r="F10" s="34" t="n">
        <f aca="false">COUNTIFS('Dagelijks Log'!B:B,Weekoverzicht!$D$5+3,'Dagelijks Log'!C:C,"*Omega-3 + Vi*")</f>
        <v>0</v>
      </c>
      <c r="G10" s="34" t="n">
        <f aca="false">COUNTIFS('Dagelijks Log'!B:B,Weekoverzicht!$D$5+4,'Dagelijks Log'!C:C,"*Omega-3 + Vi*")</f>
        <v>0</v>
      </c>
      <c r="H10" s="34" t="n">
        <f aca="false">COUNTIFS('Dagelijks Log'!B:B,Weekoverzicht!$D$5+5,'Dagelijks Log'!C:C,"*Omega-3 + Vi*")</f>
        <v>0</v>
      </c>
      <c r="I10" s="34" t="n">
        <f aca="false">COUNTIFS('Dagelijks Log'!B:B,Weekoverzicht!$D$5+6,'Dagelijks Log'!C:C,"*Omega-3 + Vi*")</f>
        <v>0</v>
      </c>
      <c r="J10" s="35" t="n">
        <f aca="false">C10+D10+E10+F10+G10+H10+I10</f>
        <v>1</v>
      </c>
      <c r="K10" s="36" t="n">
        <v>7</v>
      </c>
      <c r="L10" s="37" t="n">
        <f aca="false">IF(K10&gt;0,J10/K10,0)</f>
        <v>0.142857142857143</v>
      </c>
    </row>
    <row r="11" customFormat="false" ht="24" hidden="false" customHeight="true" outlineLevel="0" collapsed="false">
      <c r="A11" s="1"/>
      <c r="B11" s="8" t="s">
        <v>36</v>
      </c>
      <c r="C11" s="38" t="n">
        <f aca="false">COUNTIFS('Dagelijks Log'!B:B,Weekoverzicht!$D$5+0,'Dagelijks Log'!C:C,"*Creatine Mon*")</f>
        <v>0</v>
      </c>
      <c r="D11" s="38" t="n">
        <f aca="false">COUNTIFS('Dagelijks Log'!B:B,Weekoverzicht!$D$5+1,'Dagelijks Log'!C:C,"*Creatine Mon*")</f>
        <v>1</v>
      </c>
      <c r="E11" s="38" t="n">
        <f aca="false">COUNTIFS('Dagelijks Log'!B:B,Weekoverzicht!$D$5+2,'Dagelijks Log'!C:C,"*Creatine Mon*")</f>
        <v>0</v>
      </c>
      <c r="F11" s="38" t="n">
        <f aca="false">COUNTIFS('Dagelijks Log'!B:B,Weekoverzicht!$D$5+3,'Dagelijks Log'!C:C,"*Creatine Mon*")</f>
        <v>0</v>
      </c>
      <c r="G11" s="38" t="n">
        <f aca="false">COUNTIFS('Dagelijks Log'!B:B,Weekoverzicht!$D$5+4,'Dagelijks Log'!C:C,"*Creatine Mon*")</f>
        <v>0</v>
      </c>
      <c r="H11" s="38" t="n">
        <f aca="false">COUNTIFS('Dagelijks Log'!B:B,Weekoverzicht!$D$5+5,'Dagelijks Log'!C:C,"*Creatine Mon*")</f>
        <v>0</v>
      </c>
      <c r="I11" s="38" t="n">
        <f aca="false">COUNTIFS('Dagelijks Log'!B:B,Weekoverzicht!$D$5+6,'Dagelijks Log'!C:C,"*Creatine Mon*")</f>
        <v>0</v>
      </c>
      <c r="J11" s="39" t="n">
        <f aca="false">C11+D11+E11+F11+G11+H11+I11</f>
        <v>1</v>
      </c>
      <c r="K11" s="40" t="n">
        <v>5</v>
      </c>
      <c r="L11" s="41" t="n">
        <f aca="false">IF(K11&gt;0,J11/K11,0)</f>
        <v>0.2</v>
      </c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2026-03-31T11:56:41Z</dcterms:created>
  <dc:creator>openpyxl</dc:creator>
  <dc:description/>
  <dc:language>en-US</dc:language>
  <cp:lastModifiedBy/>
  <dcterms:modified xsi:type="dcterms:W3CDTF">2026-03-31T11:56:41Z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